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kdz0007\OneDrive - orange.com\Bureau\"/>
    </mc:Choice>
  </mc:AlternateContent>
  <xr:revisionPtr revIDLastSave="0" documentId="13_ncr:1_{E5B0EDF2-C218-46B2-B11A-4BD2918E223F}" xr6:coauthVersionLast="47" xr6:coauthVersionMax="47" xr10:uidLastSave="{00000000-0000-0000-0000-000000000000}"/>
  <bookViews>
    <workbookView xWindow="-120" yWindow="-120" windowWidth="21840" windowHeight="13020" xr2:uid="{84369E00-4538-4214-9CB2-17B5E3818BC5}"/>
  </bookViews>
  <sheets>
    <sheet name="Fortinet" sheetId="1" r:id="rId1"/>
    <sheet name="Cisco Extended ping" sheetId="2" r:id="rId2"/>
  </sheets>
  <definedNames>
    <definedName name="_xleta.CONCA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2" l="1"/>
  <c r="J9" i="2"/>
  <c r="J12" i="2"/>
  <c r="J6" i="2"/>
  <c r="J5" i="2"/>
  <c r="J4" i="2"/>
  <c r="L11" i="1"/>
  <c r="L2" i="1"/>
  <c r="L7" i="1"/>
  <c r="L4" i="1"/>
  <c r="L3" i="1"/>
  <c r="L12" i="1" l="1"/>
  <c r="L10" i="1"/>
  <c r="L8" i="1"/>
  <c r="L6" i="1"/>
  <c r="L5" i="1"/>
  <c r="L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tc={0FC9B7DB-7BEA-4F43-B53F-649623617558}</author>
    <author>tc={D5D731FF-7B6E-48BE-88B4-F19CFAAE4B86}</author>
    <author>tc={F1AED78A-717F-45C8-8CF9-9375A9634AE8}</author>
  </authors>
  <commentList>
    <comment ref="C1" authorId="0" shapeId="0" xr:uid="{0FC9B7DB-7BEA-4F43-B53F-649623617558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Insira a interface por onde sai o circuito a ser testado. É importante especificar a interface para evitar balencamento entre os circuitos do dispositivo
</t>
      </text>
    </comment>
    <comment ref="K1" authorId="1" shapeId="0" xr:uid="{D5D731FF-7B6E-48BE-88B4-F19CFAAE4B8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Copie todo o output seguinte e cole no Fortigate</t>
      </text>
    </comment>
    <comment ref="K10" authorId="2" shapeId="0" xr:uid="{F1AED78A-717F-45C8-8CF9-9375A9634AE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Para o traceroute so precisamos do IP de source e destination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tc={6DE39F9F-EB79-4F34-A246-24FA94D83055}</author>
  </authors>
  <commentList>
    <comment ref="I1" authorId="0" shapeId="0" xr:uid="{6DE39F9F-EB79-4F34-A246-24FA94D8305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Copie todo o output seguinte e cole no Fortigate</t>
      </text>
    </comment>
  </commentList>
</comments>
</file>

<file path=xl/sharedStrings.xml><?xml version="1.0" encoding="utf-8"?>
<sst xmlns="http://schemas.openxmlformats.org/spreadsheetml/2006/main" count="48" uniqueCount="35">
  <si>
    <t>Destination</t>
  </si>
  <si>
    <t>Source</t>
  </si>
  <si>
    <t>Ping</t>
  </si>
  <si>
    <t>Traceroute</t>
  </si>
  <si>
    <t>config vdom</t>
  </si>
  <si>
    <t>edit VDOM-CUST</t>
  </si>
  <si>
    <t>Df-bit (yes/no)</t>
  </si>
  <si>
    <t>no</t>
  </si>
  <si>
    <t>Timeout (2)</t>
  </si>
  <si>
    <t>Size (64)</t>
  </si>
  <si>
    <t>Repeat (5)</t>
  </si>
  <si>
    <t>Interface (auto)</t>
  </si>
  <si>
    <t>100</t>
  </si>
  <si>
    <t>1</t>
  </si>
  <si>
    <t>Rapid(enable/disable)</t>
  </si>
  <si>
    <t>Service Support Expert</t>
  </si>
  <si>
    <t>enable</t>
  </si>
  <si>
    <t>Entrar na VDOM</t>
  </si>
  <si>
    <t>Resetar configurações</t>
  </si>
  <si>
    <t>execute ping-options reset</t>
  </si>
  <si>
    <t>execute traceroute-options reset</t>
  </si>
  <si>
    <t>9999</t>
  </si>
  <si>
    <t>ping</t>
  </si>
  <si>
    <t>ip</t>
  </si>
  <si>
    <t>y</t>
  </si>
  <si>
    <t>v</t>
  </si>
  <si>
    <t>Source IP</t>
  </si>
  <si>
    <t>n</t>
  </si>
  <si>
    <t>0x0000ABCD</t>
  </si>
  <si>
    <t>192.168.1.253</t>
  </si>
  <si>
    <t>sw_inet2</t>
  </si>
  <si>
    <t>João Vitor Pelison - 2026</t>
  </si>
  <si>
    <t>192.168.166.194</t>
  </si>
  <si>
    <t>192.168.224.146</t>
  </si>
  <si>
    <t>google.com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</si>
</sst>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3" borderId="2" xfId="0" applyFill="1" applyBorder="1"/>
    <xf numFmtId="0" fontId="0" fillId="3" borderId="3" xfId="0" applyFill="1" applyBorder="1"/>
    <xf numFmtId="0" fontId="0" fillId="4" borderId="2" xfId="0" applyFill="1" applyBorder="1"/>
    <xf numFmtId="0" fontId="0" fillId="0" borderId="0" xfId="0" applyFill="1" applyBorder="1"/>
    <xf numFmtId="0" fontId="0" fillId="5" borderId="0" xfId="0" applyFill="1"/>
    <xf numFmtId="0" fontId="1" fillId="2" borderId="2" xfId="0" applyFont="1" applyFill="1" applyBorder="1"/>
    <xf numFmtId="0" fontId="1" fillId="3" borderId="2" xfId="0" applyFont="1" applyFill="1" applyBorder="1"/>
    <xf numFmtId="0" fontId="1" fillId="4" borderId="2" xfId="0" applyFont="1" applyFill="1" applyBorder="1"/>
    <xf numFmtId="49" fontId="0" fillId="0" borderId="1" xfId="0" applyNumberFormat="1" applyFill="1" applyBorder="1"/>
    <xf numFmtId="0" fontId="0" fillId="6" borderId="2" xfId="0" applyFill="1" applyBorder="1"/>
    <xf numFmtId="0" fontId="0" fillId="6" borderId="0" xfId="0" applyFill="1"/>
    <xf numFmtId="0" fontId="0" fillId="4" borderId="3" xfId="0" applyFill="1" applyBorder="1"/>
    <xf numFmtId="49" fontId="0" fillId="0" borderId="4" xfId="0" applyNumberFormat="1" applyBorder="1"/>
    <xf numFmtId="0" fontId="0" fillId="5" borderId="0" xfId="0" applyFill="1" applyBorder="1"/>
    <xf numFmtId="0" fontId="0" fillId="3" borderId="3" xfId="0" applyNumberFormat="1" applyFill="1" applyBorder="1"/>
    <xf numFmtId="0" fontId="0" fillId="0" borderId="1" xfId="0" applyNumberFormat="1" applyFill="1" applyBorder="1"/>
    <xf numFmtId="0" fontId="0" fillId="3" borderId="2" xfId="0" applyNumberFormat="1" applyFill="1" applyBorder="1"/>
    <xf numFmtId="3" fontId="0" fillId="3" borderId="3" xfId="0" applyNumberFormat="1" applyFill="1" applyBorder="1" applyAlignment="1">
      <alignment horizontal="left"/>
    </xf>
    <xf numFmtId="2" fontId="0" fillId="3" borderId="3" xfId="0" applyNumberFormat="1" applyFill="1" applyBorder="1"/>
    <xf numFmtId="49" fontId="0" fillId="0" borderId="0" xfId="0" applyNumberFormat="1"/>
    <xf numFmtId="0" fontId="0" fillId="3" borderId="3" xfId="0" applyNumberFormat="1" applyFill="1" applyBorder="1" applyAlignment="1">
      <alignment horizontal="left"/>
    </xf>
    <xf numFmtId="0" fontId="1" fillId="5" borderId="0" xfId="0" applyFont="1" applyFill="1" applyAlignment="1">
      <alignment horizontal="left" vertical="center" wrapText="1"/>
    </xf>
    <xf numFmtId="0" fontId="0" fillId="6" borderId="2" xfId="0" applyFill="1" applyBorder="1" applyAlignment="1">
      <alignment horizontal="left" wrapText="1"/>
    </xf>
    <xf numFmtId="0" fontId="0" fillId="6" borderId="0" xfId="0" applyFill="1" applyAlignment="1">
      <alignment horizontal="left"/>
    </xf>
    <xf numFmtId="0" fontId="1" fillId="5" borderId="0" xfId="0" applyFont="1" applyFill="1" applyAlignment="1">
      <alignment horizontal="center" vertical="center"/>
    </xf>
    <xf numFmtId="0" fontId="0" fillId="5" borderId="0" xfId="0" applyFill="1" applyBorder="1" applyAlignment="1">
      <alignment horizontal="left" wrapText="1"/>
    </xf>
    <xf numFmtId="0" fontId="0" fillId="5" borderId="0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10</xdr:col>
          <xdr:colOff>695325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8</xdr:col>
          <xdr:colOff>695325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LISON Joao Vitor OBS/GDO" id="{9E01628D-E426-40F8-8CB1-551FC06F63A7}" userId="S::joaovitor.pelison@orange.com::69410178-20e3-4222-8d2c-3d8e4a98f4ab" providerId="AD"/>
</personList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9-19T16:30:43.62" personId="{9E01628D-E426-40F8-8CB1-551FC06F63A7}" id="{0FC9B7DB-7BEA-4F43-B53F-649623617558}">
    <text xml:space="preserve">Insira a interface por onde sai o circuito a ser testado. É importante especificar a interface para evitar balencamento entre os circuitos do dispositivo
</text>
  </threadedComment>
  <threadedComment ref="K1" dT="2023-09-19T16:33:52.15" personId="{9E01628D-E426-40F8-8CB1-551FC06F63A7}" id="{D5D731FF-7B6E-48BE-88B4-F19CFAAE4B86}">
    <text>Copie todo o output seguinte e cole no Fortigate</text>
  </threadedComment>
  <threadedComment ref="K10" dT="2023-09-19T16:34:17.92" personId="{9E01628D-E426-40F8-8CB1-551FC06F63A7}" id="{F1AED78A-717F-45C8-8CF9-9375A9634AE8}">
    <text>Para o traceroute so precisamos do IP de source e destination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3-09-19T16:33:52.15" personId="{9E01628D-E426-40F8-8CB1-551FC06F63A7}" id="{6DE39F9F-EB79-4F34-A246-24FA94D83055}">
    <text>Copie todo o output seguinte e cole no Fortigate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A935D-E7AF-4014-A727-8813CADF12F6}">
  <sheetPr codeName="Sheet1"/>
  <dimension ref="A1:L21"/>
  <sheetViews>
    <sheetView tabSelected="1" zoomScale="90" zoomScaleNormal="90" workbookViewId="0">
      <selection activeCell="K3" sqref="K3"/>
    </sheetView>
  </sheetViews>
  <sheetFormatPr defaultColWidth="8.7109375" defaultRowHeight="15" x14ac:dyDescent="0.25"/>
  <cols>
    <col min="1" max="1" width="20.7109375" style="5" bestFit="1" customWidth="1"/>
    <col min="2" max="3" width="17" style="5" customWidth="1"/>
    <col min="4" max="4" width="10.140625" style="5" bestFit="1" customWidth="1"/>
    <col min="5" max="5" width="11.42578125" style="5" customWidth="1"/>
    <col min="6" max="6" width="8.7109375" style="5"/>
    <col min="7" max="7" width="19.85546875" style="5" bestFit="1" customWidth="1"/>
    <col min="8" max="8" width="21.7109375" style="5" bestFit="1" customWidth="1"/>
    <col min="9" max="9" width="3.85546875" style="5" customWidth="1"/>
    <col min="10" max="10" width="10.42578125" style="5" customWidth="1"/>
    <col min="11" max="11" width="10.5703125" style="5" bestFit="1" customWidth="1"/>
    <col min="12" max="12" width="45.85546875" style="5" bestFit="1" customWidth="1"/>
    <col min="13" max="16384" width="8.7109375" style="5"/>
  </cols>
  <sheetData>
    <row r="1" spans="1:12" x14ac:dyDescent="0.25">
      <c r="A1" s="6" t="s">
        <v>0</v>
      </c>
      <c r="B1" s="6" t="s">
        <v>1</v>
      </c>
      <c r="C1" s="6" t="s">
        <v>11</v>
      </c>
      <c r="D1" s="6" t="s">
        <v>10</v>
      </c>
      <c r="E1" s="6" t="s">
        <v>8</v>
      </c>
      <c r="F1" s="6" t="s">
        <v>9</v>
      </c>
      <c r="G1" s="6" t="s">
        <v>6</v>
      </c>
      <c r="H1" s="6" t="s">
        <v>14</v>
      </c>
      <c r="K1" s="7" t="s">
        <v>2</v>
      </c>
      <c r="L1" s="1" t="str">
        <f>_xlfn.CONCAT("execute ping-options source ",B2)</f>
        <v>execute ping-options source 192.168.1.253</v>
      </c>
    </row>
    <row r="2" spans="1:12" x14ac:dyDescent="0.25">
      <c r="A2" s="13" t="s">
        <v>34</v>
      </c>
      <c r="B2" s="9" t="s">
        <v>29</v>
      </c>
      <c r="C2" s="9" t="s">
        <v>30</v>
      </c>
      <c r="D2" s="9" t="s">
        <v>21</v>
      </c>
      <c r="E2" s="9" t="s">
        <v>13</v>
      </c>
      <c r="F2" s="9" t="s">
        <v>12</v>
      </c>
      <c r="G2" s="9" t="s">
        <v>7</v>
      </c>
      <c r="H2" s="9" t="s">
        <v>16</v>
      </c>
      <c r="K2" s="4"/>
      <c r="L2" s="1" t="str">
        <f>_xlfn.CONCAT("execute ping-options interface ",C2)</f>
        <v>execute ping-options interface sw_inet2</v>
      </c>
    </row>
    <row r="3" spans="1:12" x14ac:dyDescent="0.25">
      <c r="L3" s="2" t="str">
        <f>_xlfn.CONCAT("execute ping-options repeat-count ",D2)</f>
        <v>execute ping-options repeat-count 9999</v>
      </c>
    </row>
    <row r="4" spans="1:12" x14ac:dyDescent="0.25">
      <c r="L4" s="2" t="str">
        <f>_xlfn.CONCAT("execute ping-options timeout  ",E2)</f>
        <v>execute ping-options timeout  1</v>
      </c>
    </row>
    <row r="5" spans="1:12" x14ac:dyDescent="0.25">
      <c r="L5" s="2" t="str">
        <f>_xlfn.CONCAT("execute ping-options data-size ",F2)</f>
        <v>execute ping-options data-size 100</v>
      </c>
    </row>
    <row r="6" spans="1:12" x14ac:dyDescent="0.25">
      <c r="L6" s="2" t="str">
        <f>_xlfn.CONCAT("execute ping-options df-bit  ",G2)</f>
        <v>execute ping-options df-bit  no</v>
      </c>
    </row>
    <row r="7" spans="1:12" x14ac:dyDescent="0.25">
      <c r="A7" s="22" t="s">
        <v>17</v>
      </c>
      <c r="B7" s="10" t="s">
        <v>4</v>
      </c>
      <c r="L7" s="2" t="str">
        <f>_xlfn.CONCAT("execute ping-options adaptive-ping ",H2)</f>
        <v>execute ping-options adaptive-ping enable</v>
      </c>
    </row>
    <row r="8" spans="1:12" x14ac:dyDescent="0.25">
      <c r="A8" s="22"/>
      <c r="B8" s="11" t="s">
        <v>5</v>
      </c>
      <c r="L8" s="2" t="str">
        <f>_xlfn.CONCAT("execute ping ",A2)</f>
        <v>execute ping google.com</v>
      </c>
    </row>
    <row r="10" spans="1:12" ht="14.25" customHeight="1" x14ac:dyDescent="0.25">
      <c r="A10" s="25" t="s">
        <v>18</v>
      </c>
      <c r="B10" s="23" t="s">
        <v>19</v>
      </c>
      <c r="C10" s="23"/>
      <c r="D10" s="23"/>
      <c r="K10" s="8" t="s">
        <v>3</v>
      </c>
      <c r="L10" s="3" t="str">
        <f>_xlfn.CONCAT("execute traceroute-options source ", B2)</f>
        <v>execute traceroute-options source 192.168.1.253</v>
      </c>
    </row>
    <row r="11" spans="1:12" x14ac:dyDescent="0.25">
      <c r="A11" s="25"/>
      <c r="B11" s="24" t="s">
        <v>20</v>
      </c>
      <c r="C11" s="24"/>
      <c r="D11" s="24"/>
      <c r="L11" s="12" t="str">
        <f>_xlfn.CONCAT("execute traceroute-options device ",C2)</f>
        <v>execute traceroute-options device sw_inet2</v>
      </c>
    </row>
    <row r="12" spans="1:12" x14ac:dyDescent="0.25">
      <c r="L12" s="12" t="str">
        <f>_xlfn.CONCAT("execute traceroute ", A2)</f>
        <v>execute traceroute google.com</v>
      </c>
    </row>
    <row r="20" spans="12:12" x14ac:dyDescent="0.25">
      <c r="L20" s="5" t="s">
        <v>31</v>
      </c>
    </row>
    <row r="21" spans="12:12" x14ac:dyDescent="0.25">
      <c r="L21" s="5" t="s">
        <v>15</v>
      </c>
    </row>
  </sheetData>
  <mergeCells count="4">
    <mergeCell ref="A7:A8"/>
    <mergeCell ref="B10:D10"/>
    <mergeCell ref="B11:D11"/>
    <mergeCell ref="A10:A11"/>
  </mergeCells>
  <pageMargins left="0.7" right="0.7" top="0.75" bottom="0.75" header="0.3" footer="0.3"/>
  <pageSetup orientation="portrait" r:id="rId1"/>
  <headerFooter>
    <oddFooter>&amp;C_x000D_&amp;1#&amp;"Helvetica 75 Bold"&amp;8&amp;KED7D31 Orange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opiarPing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10</xdr:col>
                    <xdr:colOff>695325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opiarTrace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84760-80EB-4037-BB96-3B9BBA4EC96E}">
  <sheetPr codeName="Sheet2"/>
  <dimension ref="A1:J21"/>
  <sheetViews>
    <sheetView zoomScale="90" zoomScaleNormal="90" workbookViewId="0">
      <selection activeCell="H2" sqref="H2"/>
    </sheetView>
  </sheetViews>
  <sheetFormatPr defaultColWidth="8.7109375" defaultRowHeight="15" x14ac:dyDescent="0.25"/>
  <cols>
    <col min="1" max="1" width="20.7109375" style="5" bestFit="1" customWidth="1"/>
    <col min="2" max="2" width="17" style="5" customWidth="1"/>
    <col min="3" max="3" width="10.140625" style="5" bestFit="1" customWidth="1"/>
    <col min="4" max="4" width="11.42578125" style="5" customWidth="1"/>
    <col min="5" max="5" width="8.7109375" style="5"/>
    <col min="6" max="6" width="19.85546875" style="5" bestFit="1" customWidth="1"/>
    <col min="7" max="7" width="3.85546875" style="5" customWidth="1"/>
    <col min="8" max="8" width="10.42578125" style="5" customWidth="1"/>
    <col min="9" max="9" width="10.5703125" style="5" bestFit="1" customWidth="1"/>
    <col min="10" max="10" width="45.85546875" style="5" bestFit="1" customWidth="1"/>
    <col min="11" max="16384" width="8.7109375" style="5"/>
  </cols>
  <sheetData>
    <row r="1" spans="1:10" x14ac:dyDescent="0.25">
      <c r="A1" s="6" t="s">
        <v>0</v>
      </c>
      <c r="B1" s="6" t="s">
        <v>26</v>
      </c>
      <c r="C1" s="6" t="s">
        <v>10</v>
      </c>
      <c r="D1" s="6" t="s">
        <v>8</v>
      </c>
      <c r="E1" s="6" t="s">
        <v>9</v>
      </c>
      <c r="F1" s="6" t="s">
        <v>6</v>
      </c>
      <c r="I1" s="7" t="s">
        <v>2</v>
      </c>
      <c r="J1" s="17" t="s">
        <v>22</v>
      </c>
    </row>
    <row r="2" spans="1:10" x14ac:dyDescent="0.25">
      <c r="A2" s="20" t="s">
        <v>33</v>
      </c>
      <c r="B2" s="9" t="s">
        <v>32</v>
      </c>
      <c r="C2" s="16" t="s">
        <v>21</v>
      </c>
      <c r="D2" s="16" t="s">
        <v>13</v>
      </c>
      <c r="E2" s="16">
        <v>1500</v>
      </c>
      <c r="F2" s="16" t="s">
        <v>7</v>
      </c>
      <c r="I2" s="4"/>
      <c r="J2" s="17" t="s">
        <v>23</v>
      </c>
    </row>
    <row r="3" spans="1:10" x14ac:dyDescent="0.25">
      <c r="J3" s="18" t="str">
        <f>A2</f>
        <v>192.168.224.146</v>
      </c>
    </row>
    <row r="4" spans="1:10" x14ac:dyDescent="0.25">
      <c r="J4" s="15" t="str">
        <f>C2</f>
        <v>9999</v>
      </c>
    </row>
    <row r="5" spans="1:10" x14ac:dyDescent="0.25">
      <c r="J5" s="21">
        <f>E2</f>
        <v>1500</v>
      </c>
    </row>
    <row r="6" spans="1:10" x14ac:dyDescent="0.25">
      <c r="J6" s="15" t="str">
        <f xml:space="preserve"> D2</f>
        <v>1</v>
      </c>
    </row>
    <row r="7" spans="1:10" x14ac:dyDescent="0.25">
      <c r="A7" s="22"/>
      <c r="B7" s="14"/>
      <c r="C7" s="14"/>
      <c r="J7" s="15" t="s">
        <v>24</v>
      </c>
    </row>
    <row r="8" spans="1:10" x14ac:dyDescent="0.25">
      <c r="A8" s="22"/>
      <c r="B8" s="14"/>
      <c r="C8" s="14"/>
      <c r="J8" s="15" t="s">
        <v>27</v>
      </c>
    </row>
    <row r="9" spans="1:10" x14ac:dyDescent="0.25">
      <c r="B9" s="14"/>
      <c r="C9" s="14"/>
      <c r="J9" s="19" t="str">
        <f>B2</f>
        <v>192.168.166.194</v>
      </c>
    </row>
    <row r="10" spans="1:10" ht="14.25" customHeight="1" x14ac:dyDescent="0.25">
      <c r="A10" s="25"/>
      <c r="B10" s="26"/>
      <c r="C10" s="26"/>
      <c r="J10" s="21">
        <v>0</v>
      </c>
    </row>
    <row r="11" spans="1:10" x14ac:dyDescent="0.25">
      <c r="A11" s="25"/>
      <c r="B11" s="27"/>
      <c r="C11" s="27"/>
      <c r="J11" s="21">
        <v>0</v>
      </c>
    </row>
    <row r="12" spans="1:10" x14ac:dyDescent="0.25">
      <c r="J12" s="15" t="str">
        <f>F2</f>
        <v>no</v>
      </c>
    </row>
    <row r="13" spans="1:10" x14ac:dyDescent="0.25">
      <c r="J13" s="15" t="s">
        <v>7</v>
      </c>
    </row>
    <row r="14" spans="1:10" x14ac:dyDescent="0.25">
      <c r="J14" s="15" t="s">
        <v>28</v>
      </c>
    </row>
    <row r="15" spans="1:10" x14ac:dyDescent="0.25">
      <c r="J15" s="15" t="s">
        <v>25</v>
      </c>
    </row>
    <row r="16" spans="1:10" x14ac:dyDescent="0.25">
      <c r="J16" s="15"/>
    </row>
    <row r="17" spans="10:10" x14ac:dyDescent="0.25">
      <c r="J17" s="15" t="s">
        <v>27</v>
      </c>
    </row>
    <row r="20" spans="10:10" x14ac:dyDescent="0.25">
      <c r="J20" s="5" t="s">
        <v>31</v>
      </c>
    </row>
    <row r="21" spans="10:10" x14ac:dyDescent="0.25">
      <c r="J21" s="5" t="s">
        <v>15</v>
      </c>
    </row>
  </sheetData>
  <mergeCells count="4">
    <mergeCell ref="A7:A8"/>
    <mergeCell ref="A10:A11"/>
    <mergeCell ref="B10:C10"/>
    <mergeCell ref="B11:C11"/>
  </mergeCells>
  <pageMargins left="0.7" right="0.7" top="0.75" bottom="0.75" header="0.3" footer="0.3"/>
  <pageSetup orientation="portrait" r:id="rId1"/>
  <headerFooter>
    <oddFooter>&amp;C_x000D_&amp;1#&amp;"Helvetica 75 Bold"&amp;8&amp;KED7D31 Orange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arPingExt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8</xdr:col>
                    <xdr:colOff>695325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Fortinet</vt:lpstr>
      <vt:lpstr>Cisco Extended 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PELISON Joao Vitor OBS/CSO</dc:creator>
  <cp:lastModifiedBy>PELISON Joao Vitor OBS/GDO</cp:lastModifiedBy>
  <dcterms:created xsi:type="dcterms:W3CDTF">2023-09-19T14:54:19Z</dcterms:created>
  <dcterms:modified xsi:type="dcterms:W3CDTF">2026-02-10T00:04:03Z</dcterms:modified>
</cp:coreProperties>
</file>